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F:\tesla-optimus-business-analysis\data\processed\"/>
    </mc:Choice>
  </mc:AlternateContent>
  <xr:revisionPtr revIDLastSave="0" documentId="13_ncr:1_{D5D2A38F-FDC7-4C75-BC4B-5E31FE8BB0CC}" xr6:coauthVersionLast="47" xr6:coauthVersionMax="47" xr10:uidLastSave="{00000000-0000-0000-0000-000000000000}"/>
  <bookViews>
    <workbookView xWindow="-98" yWindow="-98" windowWidth="22695" windowHeight="14595" firstSheet="4" activeTab="7" xr2:uid="{00000000-000D-0000-FFFF-FFFF00000000}"/>
  </bookViews>
  <sheets>
    <sheet name="Battery Pack Cost Breakdown" sheetId="3" r:id="rId1"/>
    <sheet name="Battery Pack Cost" sheetId="4" r:id="rId2"/>
    <sheet name="Cost Data and Assumptions" sheetId="2" r:id="rId3"/>
    <sheet name="Vehicle Cost Calculation" sheetId="5" r:id="rId4"/>
    <sheet name="Model Assumptions" sheetId="1" r:id="rId5"/>
    <sheet name="NPV Forecast" sheetId="6" r:id="rId6"/>
    <sheet name="Sensitivity Analysis" sheetId="7" r:id="rId7"/>
    <sheet name="Investment Return Analysis" sheetId="8" r:id="rId8"/>
  </sheets>
  <definedNames>
    <definedName name="ExternalData_1" localSheetId="4" hidden="1">'Model Assumptions'!$A$1:$G$15</definedName>
    <definedName name="ExternalData_2" localSheetId="2" hidden="1">'Cost Data and Assumptions'!$A$1:$F$11</definedName>
    <definedName name="ExternalData_3" localSheetId="3" hidden="1">'Vehicle Cost Calculation'!$A$1:$D$17</definedName>
    <definedName name="ExternalData_4" localSheetId="1" hidden="1">'Battery Pack Cost'!$A$1:$E$3</definedName>
    <definedName name="ExternalData_5" localSheetId="0" hidden="1">'Battery Pack Cost Breakdown'!$A$1:$D$8</definedName>
  </definedNames>
  <calcPr calcId="191029"/>
</workbook>
</file>

<file path=xl/calcChain.xml><?xml version="1.0" encoding="utf-8"?>
<calcChain xmlns="http://schemas.openxmlformats.org/spreadsheetml/2006/main">
  <c r="D8" i="1" l="1"/>
  <c r="E8" i="1" s="1"/>
  <c r="F8" i="1" s="1"/>
  <c r="C8" i="1"/>
  <c r="D3" i="2"/>
  <c r="C3" i="5"/>
  <c r="C13" i="5"/>
  <c r="C8" i="5"/>
  <c r="C17" i="5" s="1"/>
  <c r="B8" i="1" s="1"/>
  <c r="F5" i="1"/>
  <c r="E5" i="1"/>
  <c r="D5" i="1"/>
  <c r="C5" i="1"/>
  <c r="B5" i="1"/>
</calcChain>
</file>

<file path=xl/sharedStrings.xml><?xml version="1.0" encoding="utf-8"?>
<sst xmlns="http://schemas.openxmlformats.org/spreadsheetml/2006/main" count="265" uniqueCount="180">
  <si>
    <t>Project Parameters (Normal)</t>
  </si>
  <si>
    <t>2026E</t>
  </si>
  <si>
    <t>2027E</t>
  </si>
  <si>
    <t>2028E</t>
  </si>
  <si>
    <t>2029E</t>
  </si>
  <si>
    <t>2030E</t>
  </si>
  <si>
    <t>Logic Explanation</t>
  </si>
  <si>
    <t>a. Market &amp; Sales Volume</t>
  </si>
  <si>
    <t>Global Model 3/Y Sales Volume</t>
  </si>
  <si>
    <t>Shanghai Factory Production Share</t>
  </si>
  <si>
    <t>0.48</t>
  </si>
  <si>
    <t>0.46</t>
  </si>
  <si>
    <t>0.45</t>
  </si>
  <si>
    <t>0.44</t>
  </si>
  <si>
    <t>Project Production Volume</t>
  </si>
  <si>
    <t>Calculated. For simplification, assume production-sales balance.</t>
  </si>
  <si>
    <t>b. Financial Indicators</t>
  </si>
  <si>
    <t>Average Selling Price (Million USD/Unit)</t>
  </si>
  <si>
    <t>0.042</t>
  </si>
  <si>
    <t>0.041</t>
  </si>
  <si>
    <t>0.04</t>
  </si>
  <si>
    <t>0.039</t>
  </si>
  <si>
    <t>Unit Cost (Million USD/Unit)</t>
  </si>
  <si>
    <t>Core Update: Starting point includes battery cost reduction to $105/kWh, subsequent 2% annual cost reduction.</t>
  </si>
  <si>
    <t>Operating Expense Ratio</t>
  </si>
  <si>
    <t>0.13</t>
  </si>
  <si>
    <t>0.125</t>
  </si>
  <si>
    <t>0.12</t>
  </si>
  <si>
    <t>Considering higher upfront investment and later efficiency improvement.</t>
  </si>
  <si>
    <t>Income Tax Rate</t>
  </si>
  <si>
    <t>0.15</t>
  </si>
  <si>
    <t>Maintain preferential tax rate assumption for high-tech enterprises.</t>
  </si>
  <si>
    <t>Depreciation to Revenue Ratio</t>
  </si>
  <si>
    <t>0.065</t>
  </si>
  <si>
    <t>Slight increase in depreciation rate due to increased CAPEX.</t>
  </si>
  <si>
    <t>Working Capital Change</t>
  </si>
  <si>
    <t>-0.01</t>
  </si>
  <si>
    <t>0</t>
  </si>
  <si>
    <t>0.005</t>
  </si>
  <si>
    <t>0.01</t>
  </si>
  <si>
    <t>Efficiency improvements release funds early, scale growth occupies funds later.</t>
  </si>
  <si>
    <t>c. Capital Expenditure</t>
  </si>
  <si>
    <t>Initial Investment (End of 2025)</t>
  </si>
  <si>
    <t>-</t>
  </si>
  <si>
    <t>Shanghai factory final planned capacity exceeds 1 million units/year. Model 3/Y as the absolute main product occupies most capacity and value. Therefore, its production line investment is estimated at 40%-60% of total factory investment (i.e., $2-3 billion). Initial investment should point to new, specialized investments for the 2026-2030 period, such as:
• Next-generation platform production line upgrade
• 4680 battery integrated production line introduction
• New technology investment to significantly improve automation rate
Such major technology upgrade investments are assumed to account for 60% of initial investment.</t>
  </si>
  <si>
    <t>Maintenance CAPEX to Revenue Ratio</t>
  </si>
  <si>
    <t>0.07</t>
  </si>
  <si>
    <t>0.06</t>
  </si>
  <si>
    <t>Reflects continued investment in new businesses (e.g., Robotaxi).</t>
  </si>
  <si>
    <t>Different Scenarios</t>
  </si>
  <si>
    <t>Selling Price</t>
  </si>
  <si>
    <t>Cost</t>
  </si>
  <si>
    <t>Conservative</t>
  </si>
  <si>
    <t>Optimistic</t>
  </si>
  <si>
    <t>Stable</t>
  </si>
  <si>
    <t>1</t>
  </si>
  <si>
    <t>Vehicle &amp; Battery</t>
  </si>
  <si>
    <t>Target Vehicle (e.g., Model Y)</t>
  </si>
  <si>
    <t>Model Y Long Range</t>
  </si>
  <si>
    <t>Select Analysis Object</t>
  </si>
  <si>
    <t>Battery Pack Capacity</t>
  </si>
  <si>
    <t>kWh</t>
  </si>
  <si>
    <t>Public Parameter</t>
  </si>
  <si>
    <t>Battery Pack Unit Price (Key Driver Variable)</t>
  </si>
  <si>
    <t>USD/kWh</t>
  </si>
  <si>
    <t>Cost Structure Assumptions</t>
  </si>
  <si>
    <t>Battery Pack Cost Share</t>
  </si>
  <si>
    <t>Industry benchmark for cross-validation</t>
  </si>
  <si>
    <t>Motor &amp; Drivetrain Cost Share</t>
  </si>
  <si>
    <t>Body &amp; Interior Cost Share</t>
  </si>
  <si>
    <t>Electronic Hardware Cost (Fixed)</t>
  </si>
  <si>
    <t>FSD hardware etc. estimate</t>
  </si>
  <si>
    <t>Localization &amp; Tariffs</t>
  </si>
  <si>
    <t>Imported Materials Value Share</t>
  </si>
  <si>
    <t>Key assumption: refers to chips etc. that must be imported</t>
  </si>
  <si>
    <t>Average Tariff Rate for Imported Materials</t>
  </si>
  <si>
    <t>Chip tariff is 0, others ignored</t>
  </si>
  <si>
    <t>Factory &amp; Efficiency</t>
  </si>
  <si>
    <t>Unit Manufacturing Depreciation &amp; Labor</t>
  </si>
  <si>
    <t>Logic: rough estimate based on total depreciation/production from financial reports</t>
  </si>
  <si>
    <t>Local Logistics &amp; Warehousing Cost</t>
  </si>
  <si>
    <t>Estimated Value</t>
  </si>
  <si>
    <t>Level</t>
  </si>
  <si>
    <t>Cost Item</t>
  </si>
  <si>
    <t>2026 Estimate (USD/Pack)</t>
  </si>
  <si>
    <t>Estimation Logic &amp; Method</t>
  </si>
  <si>
    <t>1. Cell Cost</t>
  </si>
  <si>
    <t>Cathode Material (NCM811)</t>
  </si>
  <si>
    <t>2,800</t>
  </si>
  <si>
    <t>Key change: Lithium, cobalt, nickel and other metal prices have significantly declined from 2022 highs. Based on current metal market prices and formulation, cost decreased by ~30% compared to 2 years ago.</t>
  </si>
  <si>
    <t>Anode, Electrolyte, Separator, etc.</t>
  </si>
  <si>
    <t>1,900</t>
  </si>
  <si>
    <t>Cell Manufacturing Cost</t>
  </si>
  <si>
    <t>1,400</t>
  </si>
  <si>
    <t>Scale effects and technological progress (e.g., 4680 battery) continuously reduce unit manufacturing costs.</t>
  </si>
  <si>
    <t>Subtotal</t>
  </si>
  <si>
    <t>6,100</t>
  </si>
  <si>
    <t>2. Battery Pack (PACK) Cost</t>
  </si>
  <si>
    <t>BMS, Thermal Management, Structural Components</t>
  </si>
  <si>
    <t>2,100</t>
  </si>
  <si>
    <t>CTP (Cell to Pack) and other packaging technologies improve volume utilization and reduce structural component and accessory costs.</t>
  </si>
  <si>
    <t>3. Total Battery Pack Cost Estimate</t>
  </si>
  <si>
    <t>Total</t>
  </si>
  <si>
    <t>8,200</t>
  </si>
  <si>
    <t>Cell Cost (6,100) + PACK Cost (2,100)</t>
  </si>
  <si>
    <t>4. Unit Price Verification</t>
  </si>
  <si>
    <t>105</t>
  </si>
  <si>
    <t>= 8,200 / 78.4 ≈ 105</t>
  </si>
  <si>
    <t>Category</t>
  </si>
  <si>
    <t>Sub-item</t>
  </si>
  <si>
    <t>Unit</t>
  </si>
  <si>
    <t>Benchmark: 2026 Forecast Scenario</t>
  </si>
  <si>
    <t>Description &amp; Data Source</t>
  </si>
  <si>
    <t>Battery Pack Unit Price</t>
  </si>
  <si>
    <t>Source: BNEF 2026 global average price forecast. This is the latest key driver variable in your model.</t>
  </si>
  <si>
    <t>Total Battery Pack Cost</t>
  </si>
  <si>
    <t>Calculation: 105 * 78.4 = 8,232</t>
  </si>
  <si>
    <t>id</t>
  </si>
  <si>
    <t>Cost Details</t>
  </si>
  <si>
    <t>Amount (USD)</t>
  </si>
  <si>
    <t>Remarks</t>
  </si>
  <si>
    <t>1. Direct Material Cost</t>
  </si>
  <si>
    <t>1. Battery Pack</t>
  </si>
  <si>
    <t>10976</t>
  </si>
  <si>
    <t>2. Motor &amp; Drivetrain</t>
  </si>
  <si>
    <t>3. Body &amp; Interior</t>
  </si>
  <si>
    <t>4. Electronic Hardware</t>
  </si>
  <si>
    <t>5. Other Materials</t>
  </si>
  <si>
    <t>Balancing item to make total share 100%</t>
  </si>
  <si>
    <t>Material Cost Subtotal</t>
  </si>
  <si>
    <t>Name this row as 【Total_Material】</t>
  </si>
  <si>
    <t>2. Supply Chain Related Costs</t>
  </si>
  <si>
    <t>1. Imported Component Tariffs</t>
  </si>
  <si>
    <t>=32,000 * 5% * 0%</t>
  </si>
  <si>
    <t>2. Local Logistics &amp; Warehousing</t>
  </si>
  <si>
    <t>Supply Chain Cost Subtotal</t>
  </si>
  <si>
    <t>3. Production &amp; Manufacturing Costs</t>
  </si>
  <si>
    <t>1. Manufacturing Depreciation &amp; Labor</t>
  </si>
  <si>
    <t>4. Total Unit Vehicle Operating Cost</t>
  </si>
  <si>
    <t>This is the core output of the final calculation</t>
  </si>
  <si>
    <t>Project (Normal)</t>
  </si>
  <si>
    <t>End of 2025</t>
  </si>
  <si>
    <t>1. Earnings Before Interest and Taxes (EBIT)</t>
  </si>
  <si>
    <t>1. Operating Revenue</t>
  </si>
  <si>
    <t>2. Operating Cost</t>
  </si>
  <si>
    <t>3. Operating Expenses</t>
  </si>
  <si>
    <t>4. EBIT</t>
  </si>
  <si>
    <t>2. Free Cash Flow (FCF)</t>
  </si>
  <si>
    <t>5. Income Tax</t>
  </si>
  <si>
    <t>6. Earnings After Tax Before Interest</t>
  </si>
  <si>
    <t>7. Add: Depreciation</t>
  </si>
  <si>
    <t>8. Less: Working Capital Increase</t>
  </si>
  <si>
    <t>9. Less: Capital Expenditure (CAPEX)</t>
  </si>
  <si>
    <t>10. Project Free Cash Flow</t>
  </si>
  <si>
    <t>3. Present Value Calculation</t>
  </si>
  <si>
    <t>11. Discount Factor (WACC=9%)</t>
  </si>
  <si>
    <t>12. Cash Flow Present Value</t>
  </si>
  <si>
    <t>13. Total Present Value by Year</t>
  </si>
  <si>
    <t>Project (Conservative)</t>
  </si>
  <si>
    <t>Project (Optimistic)</t>
  </si>
  <si>
    <t>Change Factor</t>
  </si>
  <si>
    <t>NPV (Million USD)</t>
  </si>
  <si>
    <t>IRR</t>
  </si>
  <si>
    <t>Base Scenario</t>
  </si>
  <si>
    <t>Pessimistic Scenario: Price -5%, Cost +3%</t>
  </si>
  <si>
    <t>Optimistic Scenario: Price stable, cost reduction expanded to 3%</t>
  </si>
  <si>
    <t>Indicator (Normal)</t>
  </si>
  <si>
    <t>Calculation Result</t>
  </si>
  <si>
    <t>Indicator (Conservative)</t>
  </si>
  <si>
    <t>Indicator (Optimistic)</t>
  </si>
  <si>
    <t>1. Initial Investment Amount (End of 2025)</t>
  </si>
  <si>
    <t>2. Sum of Present Value of Next 5 Years Cash Flows</t>
  </si>
  <si>
    <t>3. Net Present Value (NPV) (Million USD)</t>
  </si>
  <si>
    <t>4. Internal Rate of Return (IRR)</t>
  </si>
  <si>
    <t>5. Investment Payback Period (Years)</t>
  </si>
  <si>
    <t>More than 5 years</t>
  </si>
  <si>
    <t>USD</t>
  </si>
  <si>
    <t>Considering ongoing competition, assume an annual price reduction of approximately 1.5%.</t>
  </si>
  <si>
    <t>Considering global production capacity diversification, the share is gradually decreasing.</t>
  </si>
  <si>
    <t>Based on the assumption of decelerating historical growth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</si>
</sst>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_ * #,##0_ ;_ * \-#,##0_ ;_ * &quot;-&quot;??_ ;_ @_ "/>
    <numFmt numFmtId="165" formatCode="#,##0_ ;\-#,##0\ "/>
    <numFmt numFmtId="166" formatCode="0.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/>
  </cellStyleXfs>
  <cellXfs count="24">
    <xf numFmtId="0" fontId="0" fillId="0" borderId="0" xfId="0"/>
    <xf numFmtId="43" fontId="0" fillId="0" borderId="0" xfId="1" applyFont="1"/>
    <xf numFmtId="164" fontId="0" fillId="0" borderId="0" xfId="1" applyNumberFormat="1" applyFont="1"/>
    <xf numFmtId="164" fontId="0" fillId="0" borderId="0" xfId="0" applyNumberFormat="1"/>
    <xf numFmtId="0" fontId="0" fillId="0" borderId="0" xfId="0" applyAlignment="1">
      <alignment vertical="center"/>
    </xf>
    <xf numFmtId="0" fontId="0" fillId="2" borderId="0" xfId="0" applyFill="1"/>
    <xf numFmtId="9" fontId="0" fillId="2" borderId="0" xfId="0" applyNumberFormat="1" applyFill="1"/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64" fontId="0" fillId="0" borderId="0" xfId="1" applyNumberFormat="1" applyFont="1" applyAlignment="1">
      <alignment horizontal="right" vertical="center"/>
    </xf>
    <xf numFmtId="165" fontId="0" fillId="0" borderId="0" xfId="1" applyNumberFormat="1" applyFont="1" applyAlignment="1">
      <alignment horizontal="right" vertical="center"/>
    </xf>
    <xf numFmtId="166" fontId="0" fillId="0" borderId="0" xfId="0" applyNumberFormat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0" fontId="0" fillId="0" borderId="0" xfId="0" applyAlignment="1">
      <alignment vertical="center" wrapText="1"/>
    </xf>
    <xf numFmtId="164" fontId="0" fillId="0" borderId="0" xfId="1" applyNumberFormat="1" applyFont="1" applyAlignment="1">
      <alignment vertical="center"/>
    </xf>
    <xf numFmtId="10" fontId="0" fillId="0" borderId="0" xfId="0" applyNumberFormat="1" applyAlignment="1">
      <alignment vertical="center"/>
    </xf>
    <xf numFmtId="0" fontId="2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 wrapText="1"/>
    </xf>
    <xf numFmtId="10" fontId="0" fillId="0" borderId="0" xfId="0" applyNumberFormat="1" applyAlignment="1">
      <alignment vertical="center" wrapText="1"/>
    </xf>
    <xf numFmtId="2" fontId="0" fillId="0" borderId="0" xfId="0" applyNumberFormat="1" applyAlignment="1">
      <alignment vertical="center" wrapText="1"/>
    </xf>
    <xf numFmtId="16" fontId="0" fillId="0" borderId="0" xfId="0" applyNumberFormat="1" applyAlignment="1">
      <alignment vertical="center" wrapText="1"/>
    </xf>
    <xf numFmtId="43" fontId="0" fillId="0" borderId="0" xfId="1" applyFont="1" applyAlignment="1">
      <alignment vertical="center" wrapText="1"/>
    </xf>
    <xf numFmtId="0" fontId="0" fillId="0" borderId="0" xfId="0" applyAlignment="1">
      <alignment wrapText="1"/>
    </xf>
  </cellXfs>
  <cellStyles count="2">
    <cellStyle name="常规" xfId="0" builtinId="0"/>
    <cellStyle name="千位分隔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>
      <selection activeCell="D23" sqref="D23"/>
    </sheetView>
  </sheetViews>
  <sheetFormatPr defaultRowHeight="14.25" x14ac:dyDescent="0.45"/>
  <cols>
    <col min="1" max="1" width="20.6640625" bestFit="1" customWidth="1"/>
    <col min="2" max="2" width="20.19921875" bestFit="1" customWidth="1"/>
    <col min="3" max="3" width="23.3984375" bestFit="1" customWidth="1"/>
    <col min="4" max="4" width="80.53125" style="23" bestFit="1" customWidth="1"/>
  </cols>
  <sheetData>
    <row r="1" spans="1:4" s="17" customFormat="1" ht="28.9" customHeight="1" x14ac:dyDescent="0.45">
      <c r="A1" s="17" t="s">
        <v>82</v>
      </c>
      <c r="B1" s="17" t="s">
        <v>83</v>
      </c>
      <c r="C1" s="17" t="s">
        <v>84</v>
      </c>
      <c r="D1" s="17" t="s">
        <v>85</v>
      </c>
    </row>
    <row r="2" spans="1:4" ht="28.9" customHeight="1" x14ac:dyDescent="0.45">
      <c r="A2" t="s">
        <v>86</v>
      </c>
      <c r="B2" t="s">
        <v>87</v>
      </c>
      <c r="C2" s="9" t="s">
        <v>88</v>
      </c>
      <c r="D2" s="23" t="s">
        <v>89</v>
      </c>
    </row>
    <row r="3" spans="1:4" ht="28.9" customHeight="1" x14ac:dyDescent="0.45">
      <c r="A3" t="s">
        <v>86</v>
      </c>
      <c r="B3" t="s">
        <v>90</v>
      </c>
      <c r="C3" s="9" t="s">
        <v>91</v>
      </c>
    </row>
    <row r="4" spans="1:4" ht="28.9" customHeight="1" x14ac:dyDescent="0.45">
      <c r="A4" t="s">
        <v>86</v>
      </c>
      <c r="B4" t="s">
        <v>92</v>
      </c>
      <c r="C4" s="9" t="s">
        <v>93</v>
      </c>
      <c r="D4" s="23" t="s">
        <v>94</v>
      </c>
    </row>
    <row r="5" spans="1:4" ht="28.9" customHeight="1" x14ac:dyDescent="0.45">
      <c r="A5" t="s">
        <v>86</v>
      </c>
      <c r="B5" t="s">
        <v>95</v>
      </c>
      <c r="C5" s="9" t="s">
        <v>96</v>
      </c>
    </row>
    <row r="6" spans="1:4" ht="28.9" customHeight="1" x14ac:dyDescent="0.45">
      <c r="A6" t="s">
        <v>97</v>
      </c>
      <c r="B6" t="s">
        <v>98</v>
      </c>
      <c r="C6" s="9" t="s">
        <v>99</v>
      </c>
      <c r="D6" s="23" t="s">
        <v>100</v>
      </c>
    </row>
    <row r="7" spans="1:4" ht="28.9" customHeight="1" x14ac:dyDescent="0.45">
      <c r="A7" t="s">
        <v>101</v>
      </c>
      <c r="B7" t="s">
        <v>102</v>
      </c>
      <c r="C7" s="9" t="s">
        <v>103</v>
      </c>
      <c r="D7" s="23" t="s">
        <v>104</v>
      </c>
    </row>
    <row r="8" spans="1:4" ht="28.9" customHeight="1" x14ac:dyDescent="0.45">
      <c r="A8" t="s">
        <v>105</v>
      </c>
      <c r="B8" t="s">
        <v>64</v>
      </c>
      <c r="C8" s="9" t="s">
        <v>106</v>
      </c>
      <c r="D8" s="23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3"/>
  <sheetViews>
    <sheetView workbookViewId="0">
      <selection activeCell="E7" sqref="E7"/>
    </sheetView>
  </sheetViews>
  <sheetFormatPr defaultRowHeight="14.25" x14ac:dyDescent="0.45"/>
  <cols>
    <col min="1" max="1" width="12.33203125" bestFit="1" customWidth="1"/>
    <col min="2" max="2" width="6.796875" bestFit="1" customWidth="1"/>
    <col min="3" max="3" width="8.9296875" bestFit="1" customWidth="1"/>
    <col min="4" max="4" width="22.53125" bestFit="1" customWidth="1"/>
    <col min="5" max="5" width="62.86328125" bestFit="1" customWidth="1"/>
  </cols>
  <sheetData>
    <row r="1" spans="1:5" s="17" customFormat="1" ht="25.9" customHeight="1" x14ac:dyDescent="0.45">
      <c r="A1" s="17" t="s">
        <v>108</v>
      </c>
      <c r="B1" s="17" t="s">
        <v>109</v>
      </c>
      <c r="C1" s="17" t="s">
        <v>110</v>
      </c>
      <c r="D1" s="17" t="s">
        <v>111</v>
      </c>
      <c r="E1" s="17" t="s">
        <v>112</v>
      </c>
    </row>
    <row r="2" spans="1:5" s="14" customFormat="1" ht="25.9" customHeight="1" x14ac:dyDescent="0.45">
      <c r="A2" s="14" t="s">
        <v>113</v>
      </c>
      <c r="B2" s="14" t="s">
        <v>43</v>
      </c>
      <c r="C2" s="14" t="s">
        <v>64</v>
      </c>
      <c r="D2" s="14">
        <v>105</v>
      </c>
      <c r="E2" s="14" t="s">
        <v>114</v>
      </c>
    </row>
    <row r="3" spans="1:5" s="14" customFormat="1" ht="25.9" customHeight="1" x14ac:dyDescent="0.45">
      <c r="A3" s="14" t="s">
        <v>115</v>
      </c>
      <c r="B3" s="14" t="s">
        <v>43</v>
      </c>
      <c r="C3" s="14" t="s">
        <v>176</v>
      </c>
      <c r="D3" s="14">
        <v>8232</v>
      </c>
      <c r="E3" s="14" t="s">
        <v>116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"/>
  <sheetViews>
    <sheetView workbookViewId="0">
      <selection activeCell="C21" sqref="C21"/>
    </sheetView>
  </sheetViews>
  <sheetFormatPr defaultRowHeight="14.25" x14ac:dyDescent="0.45"/>
  <cols>
    <col min="1" max="1" width="3.9296875" bestFit="1" customWidth="1"/>
    <col min="2" max="2" width="12.59765625" bestFit="1" customWidth="1"/>
    <col min="3" max="3" width="23.86328125" bestFit="1" customWidth="1"/>
    <col min="4" max="4" width="14.06640625" customWidth="1"/>
    <col min="5" max="5" width="10.19921875" bestFit="1" customWidth="1"/>
    <col min="6" max="6" width="43.9296875" customWidth="1"/>
  </cols>
  <sheetData>
    <row r="1" spans="1:6" s="17" customFormat="1" ht="30.85" customHeight="1" x14ac:dyDescent="0.45">
      <c r="A1" s="17" t="s">
        <v>55</v>
      </c>
      <c r="B1" s="17" t="s">
        <v>56</v>
      </c>
      <c r="C1" s="17" t="s">
        <v>57</v>
      </c>
      <c r="D1" s="17" t="s">
        <v>58</v>
      </c>
      <c r="E1" s="17" t="s">
        <v>110</v>
      </c>
      <c r="F1" s="17" t="s">
        <v>59</v>
      </c>
    </row>
    <row r="2" spans="1:6" s="14" customFormat="1" ht="30.85" customHeight="1" x14ac:dyDescent="0.45">
      <c r="A2" s="14">
        <v>2</v>
      </c>
      <c r="C2" s="14" t="s">
        <v>60</v>
      </c>
      <c r="D2" s="14">
        <v>78.400000000000006</v>
      </c>
      <c r="E2" s="14" t="s">
        <v>61</v>
      </c>
      <c r="F2" s="14" t="s">
        <v>62</v>
      </c>
    </row>
    <row r="3" spans="1:6" s="14" customFormat="1" ht="30.85" customHeight="1" x14ac:dyDescent="0.45">
      <c r="A3" s="14">
        <v>3</v>
      </c>
      <c r="C3" s="14" t="s">
        <v>63</v>
      </c>
      <c r="D3" s="14">
        <f>'Battery Pack Cost'!D3</f>
        <v>8232</v>
      </c>
      <c r="E3" s="14" t="s">
        <v>64</v>
      </c>
    </row>
    <row r="4" spans="1:6" s="14" customFormat="1" ht="30.85" customHeight="1" x14ac:dyDescent="0.45">
      <c r="A4" s="14">
        <v>4</v>
      </c>
      <c r="B4" s="14" t="s">
        <v>65</v>
      </c>
      <c r="C4" s="14" t="s">
        <v>66</v>
      </c>
      <c r="D4" s="14">
        <v>0.24</v>
      </c>
      <c r="F4" s="14" t="s">
        <v>67</v>
      </c>
    </row>
    <row r="5" spans="1:6" s="14" customFormat="1" ht="30.85" customHeight="1" x14ac:dyDescent="0.45">
      <c r="A5" s="14">
        <v>5</v>
      </c>
      <c r="C5" s="14" t="s">
        <v>68</v>
      </c>
      <c r="D5" s="14">
        <v>0.16</v>
      </c>
    </row>
    <row r="6" spans="1:6" s="14" customFormat="1" ht="30.85" customHeight="1" x14ac:dyDescent="0.45">
      <c r="A6" s="14">
        <v>6</v>
      </c>
      <c r="C6" s="14" t="s">
        <v>69</v>
      </c>
      <c r="D6" s="14">
        <v>0.28999999999999998</v>
      </c>
    </row>
    <row r="7" spans="1:6" s="14" customFormat="1" ht="30.85" customHeight="1" x14ac:dyDescent="0.45">
      <c r="A7" s="14">
        <v>7</v>
      </c>
      <c r="C7" s="14" t="s">
        <v>70</v>
      </c>
      <c r="D7" s="14">
        <v>1800</v>
      </c>
      <c r="E7" s="14" t="s">
        <v>176</v>
      </c>
      <c r="F7" s="14" t="s">
        <v>71</v>
      </c>
    </row>
    <row r="8" spans="1:6" s="14" customFormat="1" ht="30.85" customHeight="1" x14ac:dyDescent="0.45">
      <c r="A8" s="14">
        <v>8</v>
      </c>
      <c r="B8" s="14" t="s">
        <v>72</v>
      </c>
      <c r="C8" s="14" t="s">
        <v>73</v>
      </c>
      <c r="D8" s="14">
        <v>0.05</v>
      </c>
      <c r="F8" s="14" t="s">
        <v>74</v>
      </c>
    </row>
    <row r="9" spans="1:6" s="14" customFormat="1" ht="30.85" customHeight="1" x14ac:dyDescent="0.45">
      <c r="A9" s="14">
        <v>9</v>
      </c>
      <c r="C9" s="14" t="s">
        <v>75</v>
      </c>
      <c r="D9" s="14">
        <v>0</v>
      </c>
      <c r="F9" s="14" t="s">
        <v>76</v>
      </c>
    </row>
    <row r="10" spans="1:6" s="14" customFormat="1" ht="30.85" customHeight="1" x14ac:dyDescent="0.45">
      <c r="A10" s="14">
        <v>10</v>
      </c>
      <c r="B10" s="14" t="s">
        <v>77</v>
      </c>
      <c r="C10" s="14" t="s">
        <v>78</v>
      </c>
      <c r="D10" s="14">
        <v>4500</v>
      </c>
      <c r="E10" s="14" t="s">
        <v>176</v>
      </c>
      <c r="F10" s="14" t="s">
        <v>79</v>
      </c>
    </row>
    <row r="11" spans="1:6" s="14" customFormat="1" ht="30.85" customHeight="1" x14ac:dyDescent="0.45">
      <c r="A11" s="14">
        <v>11</v>
      </c>
      <c r="C11" s="14" t="s">
        <v>80</v>
      </c>
      <c r="D11" s="14">
        <v>200</v>
      </c>
      <c r="E11" s="14" t="s">
        <v>176</v>
      </c>
      <c r="F11" s="14" t="s">
        <v>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7"/>
  <sheetViews>
    <sheetView workbookViewId="0">
      <selection activeCell="D27" sqref="D27"/>
    </sheetView>
  </sheetViews>
  <sheetFormatPr defaultRowHeight="14.25" x14ac:dyDescent="0.45"/>
  <cols>
    <col min="1" max="1" width="4.46484375" bestFit="1" customWidth="1"/>
    <col min="2" max="2" width="24.1328125" bestFit="1" customWidth="1"/>
    <col min="3" max="3" width="11.33203125" bestFit="1" customWidth="1"/>
    <col min="4" max="4" width="28.59765625" bestFit="1" customWidth="1"/>
  </cols>
  <sheetData>
    <row r="1" spans="1:4" s="8" customFormat="1" x14ac:dyDescent="0.45">
      <c r="A1" s="8" t="s">
        <v>117</v>
      </c>
      <c r="B1" s="8" t="s">
        <v>118</v>
      </c>
      <c r="C1" s="8" t="s">
        <v>119</v>
      </c>
      <c r="D1" s="8" t="s">
        <v>120</v>
      </c>
    </row>
    <row r="2" spans="1:4" x14ac:dyDescent="0.45">
      <c r="A2">
        <v>1</v>
      </c>
      <c r="B2" t="s">
        <v>121</v>
      </c>
      <c r="C2" s="9"/>
    </row>
    <row r="3" spans="1:4" x14ac:dyDescent="0.45">
      <c r="A3">
        <v>2</v>
      </c>
      <c r="B3" t="s">
        <v>122</v>
      </c>
      <c r="C3" s="11">
        <f>'Battery Pack Cost'!D3</f>
        <v>8232</v>
      </c>
      <c r="D3" t="s">
        <v>123</v>
      </c>
    </row>
    <row r="4" spans="1:4" x14ac:dyDescent="0.45">
      <c r="A4">
        <v>3</v>
      </c>
      <c r="B4" t="s">
        <v>124</v>
      </c>
      <c r="C4" s="11">
        <v>5400</v>
      </c>
    </row>
    <row r="5" spans="1:4" x14ac:dyDescent="0.45">
      <c r="A5">
        <v>4</v>
      </c>
      <c r="B5" t="s">
        <v>125</v>
      </c>
      <c r="C5" s="11">
        <v>9900</v>
      </c>
    </row>
    <row r="6" spans="1:4" x14ac:dyDescent="0.45">
      <c r="A6">
        <v>5</v>
      </c>
      <c r="B6" t="s">
        <v>126</v>
      </c>
      <c r="C6" s="11">
        <v>1800</v>
      </c>
    </row>
    <row r="7" spans="1:4" x14ac:dyDescent="0.45">
      <c r="A7">
        <v>6</v>
      </c>
      <c r="B7" t="s">
        <v>127</v>
      </c>
      <c r="C7" s="11">
        <v>3924</v>
      </c>
      <c r="D7" t="s">
        <v>128</v>
      </c>
    </row>
    <row r="8" spans="1:4" x14ac:dyDescent="0.45">
      <c r="A8">
        <v>7</v>
      </c>
      <c r="B8" t="s">
        <v>129</v>
      </c>
      <c r="C8" s="11">
        <f>SUBTOTAL(109,C2:C7)</f>
        <v>29256</v>
      </c>
      <c r="D8" t="s">
        <v>130</v>
      </c>
    </row>
    <row r="9" spans="1:4" x14ac:dyDescent="0.45">
      <c r="A9">
        <v>8</v>
      </c>
      <c r="C9" s="11"/>
    </row>
    <row r="10" spans="1:4" x14ac:dyDescent="0.45">
      <c r="A10">
        <v>9</v>
      </c>
      <c r="B10" t="s">
        <v>131</v>
      </c>
      <c r="C10" s="11"/>
    </row>
    <row r="11" spans="1:4" x14ac:dyDescent="0.45">
      <c r="A11">
        <v>10</v>
      </c>
      <c r="B11" t="s">
        <v>132</v>
      </c>
      <c r="C11" s="11" t="s">
        <v>37</v>
      </c>
      <c r="D11" t="s">
        <v>133</v>
      </c>
    </row>
    <row r="12" spans="1:4" x14ac:dyDescent="0.45">
      <c r="A12">
        <v>11</v>
      </c>
      <c r="B12" t="s">
        <v>134</v>
      </c>
      <c r="C12" s="11">
        <v>200</v>
      </c>
    </row>
    <row r="13" spans="1:4" x14ac:dyDescent="0.45">
      <c r="A13">
        <v>12</v>
      </c>
      <c r="B13" t="s">
        <v>135</v>
      </c>
      <c r="C13" s="11">
        <f>SUBTOTAL(109,C11:C12)</f>
        <v>200</v>
      </c>
    </row>
    <row r="14" spans="1:4" x14ac:dyDescent="0.45">
      <c r="A14">
        <v>13</v>
      </c>
      <c r="C14" s="11"/>
    </row>
    <row r="15" spans="1:4" x14ac:dyDescent="0.45">
      <c r="A15">
        <v>14</v>
      </c>
      <c r="B15" t="s">
        <v>136</v>
      </c>
      <c r="C15" s="11"/>
    </row>
    <row r="16" spans="1:4" x14ac:dyDescent="0.45">
      <c r="A16">
        <v>15</v>
      </c>
      <c r="B16" t="s">
        <v>137</v>
      </c>
      <c r="C16" s="11">
        <v>4500</v>
      </c>
    </row>
    <row r="17" spans="1:4" x14ac:dyDescent="0.45">
      <c r="A17">
        <v>16</v>
      </c>
      <c r="B17" t="s">
        <v>138</v>
      </c>
      <c r="C17" s="11">
        <f>SUBTOTAL(109,C2:C16)</f>
        <v>33956</v>
      </c>
      <c r="D17" t="s">
        <v>139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workbookViewId="0">
      <selection activeCell="G19" sqref="G19"/>
    </sheetView>
  </sheetViews>
  <sheetFormatPr defaultRowHeight="14.25" x14ac:dyDescent="0.45"/>
  <cols>
    <col min="1" max="1" width="24.59765625" bestFit="1" customWidth="1"/>
    <col min="2" max="6" width="12.06640625" bestFit="1" customWidth="1"/>
    <col min="7" max="7" width="60.59765625" style="23" bestFit="1" customWidth="1"/>
  </cols>
  <sheetData>
    <row r="1" spans="1:7" s="7" customFormat="1" ht="25.9" customHeight="1" x14ac:dyDescent="0.4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7" t="s">
        <v>6</v>
      </c>
    </row>
    <row r="2" spans="1:7" s="4" customFormat="1" ht="25.9" customHeight="1" x14ac:dyDescent="0.45">
      <c r="A2" s="4" t="s">
        <v>7</v>
      </c>
      <c r="G2" s="14"/>
    </row>
    <row r="3" spans="1:7" s="4" customFormat="1" ht="25.9" customHeight="1" x14ac:dyDescent="0.45">
      <c r="A3" s="4" t="s">
        <v>8</v>
      </c>
      <c r="B3" s="10">
        <v>1600000</v>
      </c>
      <c r="C3" s="10">
        <v>1680000</v>
      </c>
      <c r="D3" s="10">
        <v>1747000</v>
      </c>
      <c r="E3" s="10">
        <v>1797000</v>
      </c>
      <c r="F3" s="10">
        <v>1833000</v>
      </c>
      <c r="G3" s="14" t="s">
        <v>179</v>
      </c>
    </row>
    <row r="4" spans="1:7" s="4" customFormat="1" ht="25.9" customHeight="1" x14ac:dyDescent="0.45">
      <c r="A4" s="4" t="s">
        <v>9</v>
      </c>
      <c r="B4" s="9">
        <v>0.5</v>
      </c>
      <c r="C4" s="9" t="s">
        <v>10</v>
      </c>
      <c r="D4" s="9" t="s">
        <v>11</v>
      </c>
      <c r="E4" s="9" t="s">
        <v>12</v>
      </c>
      <c r="F4" s="9" t="s">
        <v>13</v>
      </c>
      <c r="G4" s="14" t="s">
        <v>178</v>
      </c>
    </row>
    <row r="5" spans="1:7" s="4" customFormat="1" ht="25.9" customHeight="1" x14ac:dyDescent="0.45">
      <c r="A5" s="4" t="s">
        <v>14</v>
      </c>
      <c r="B5" s="13">
        <f>B3*B4</f>
        <v>800000</v>
      </c>
      <c r="C5" s="13">
        <f>C3*C4</f>
        <v>806400</v>
      </c>
      <c r="D5" s="13">
        <f>D3*D4</f>
        <v>803620</v>
      </c>
      <c r="E5" s="13">
        <f>E3*E4</f>
        <v>808650</v>
      </c>
      <c r="F5" s="13">
        <f>F3*F4</f>
        <v>806520</v>
      </c>
      <c r="G5" s="14" t="s">
        <v>15</v>
      </c>
    </row>
    <row r="6" spans="1:7" s="4" customFormat="1" ht="25.9" customHeight="1" x14ac:dyDescent="0.45">
      <c r="A6" s="4" t="s">
        <v>16</v>
      </c>
      <c r="B6" s="9"/>
      <c r="C6" s="9"/>
      <c r="D6" s="9"/>
      <c r="E6" s="9"/>
      <c r="F6" s="9"/>
      <c r="G6" s="14"/>
    </row>
    <row r="7" spans="1:7" s="4" customFormat="1" ht="25.9" customHeight="1" x14ac:dyDescent="0.45">
      <c r="A7" s="4" t="s">
        <v>17</v>
      </c>
      <c r="B7" s="9">
        <v>4.2999999999999997E-2</v>
      </c>
      <c r="C7" s="9" t="s">
        <v>18</v>
      </c>
      <c r="D7" s="9" t="s">
        <v>19</v>
      </c>
      <c r="E7" s="9" t="s">
        <v>20</v>
      </c>
      <c r="F7" s="9" t="s">
        <v>21</v>
      </c>
      <c r="G7" s="14" t="s">
        <v>177</v>
      </c>
    </row>
    <row r="8" spans="1:7" s="4" customFormat="1" ht="25.9" customHeight="1" x14ac:dyDescent="0.45">
      <c r="A8" s="4" t="s">
        <v>22</v>
      </c>
      <c r="B8" s="12">
        <f>'Vehicle Cost Calculation'!C17/1000000</f>
        <v>3.3956E-2</v>
      </c>
      <c r="C8" s="12">
        <f>B8*0.98</f>
        <v>3.3276880000000002E-2</v>
      </c>
      <c r="D8" s="12">
        <f t="shared" ref="D8:F8" si="0">C8*0.98</f>
        <v>3.26113424E-2</v>
      </c>
      <c r="E8" s="12">
        <f t="shared" si="0"/>
        <v>3.1959115551999998E-2</v>
      </c>
      <c r="F8" s="12">
        <f t="shared" si="0"/>
        <v>3.1319933240959996E-2</v>
      </c>
      <c r="G8" s="14" t="s">
        <v>23</v>
      </c>
    </row>
    <row r="9" spans="1:7" s="4" customFormat="1" ht="25.9" customHeight="1" x14ac:dyDescent="0.45">
      <c r="A9" s="4" t="s">
        <v>24</v>
      </c>
      <c r="B9" s="9">
        <v>0.13</v>
      </c>
      <c r="C9" s="9" t="s">
        <v>25</v>
      </c>
      <c r="D9" s="9" t="s">
        <v>26</v>
      </c>
      <c r="E9" s="9" t="s">
        <v>26</v>
      </c>
      <c r="F9" s="9" t="s">
        <v>27</v>
      </c>
      <c r="G9" s="14" t="s">
        <v>28</v>
      </c>
    </row>
    <row r="10" spans="1:7" s="4" customFormat="1" ht="25.9" customHeight="1" x14ac:dyDescent="0.45">
      <c r="A10" s="4" t="s">
        <v>29</v>
      </c>
      <c r="B10" s="9">
        <v>0.15</v>
      </c>
      <c r="C10" s="9" t="s">
        <v>30</v>
      </c>
      <c r="D10" s="9" t="s">
        <v>30</v>
      </c>
      <c r="E10" s="9" t="s">
        <v>30</v>
      </c>
      <c r="F10" s="9" t="s">
        <v>30</v>
      </c>
      <c r="G10" s="14" t="s">
        <v>31</v>
      </c>
    </row>
    <row r="11" spans="1:7" s="4" customFormat="1" ht="25.9" customHeight="1" x14ac:dyDescent="0.45">
      <c r="A11" s="4" t="s">
        <v>32</v>
      </c>
      <c r="B11" s="9">
        <v>6.5000000000000002E-2</v>
      </c>
      <c r="C11" s="9" t="s">
        <v>33</v>
      </c>
      <c r="D11" s="9" t="s">
        <v>33</v>
      </c>
      <c r="E11" s="9" t="s">
        <v>33</v>
      </c>
      <c r="F11" s="9" t="s">
        <v>33</v>
      </c>
      <c r="G11" s="14" t="s">
        <v>34</v>
      </c>
    </row>
    <row r="12" spans="1:7" s="4" customFormat="1" ht="25.9" customHeight="1" x14ac:dyDescent="0.45">
      <c r="A12" s="4" t="s">
        <v>35</v>
      </c>
      <c r="B12" s="9">
        <v>-1.4999999999999999E-2</v>
      </c>
      <c r="C12" s="9" t="s">
        <v>36</v>
      </c>
      <c r="D12" s="9" t="s">
        <v>37</v>
      </c>
      <c r="E12" s="9" t="s">
        <v>38</v>
      </c>
      <c r="F12" s="9" t="s">
        <v>39</v>
      </c>
      <c r="G12" s="14" t="s">
        <v>40</v>
      </c>
    </row>
    <row r="13" spans="1:7" s="4" customFormat="1" ht="25.9" customHeight="1" x14ac:dyDescent="0.45">
      <c r="A13" s="4" t="s">
        <v>41</v>
      </c>
      <c r="B13" s="9"/>
      <c r="C13" s="9"/>
      <c r="D13" s="9"/>
      <c r="E13" s="9"/>
      <c r="F13" s="9"/>
      <c r="G13" s="14"/>
    </row>
    <row r="14" spans="1:7" s="4" customFormat="1" ht="25.9" customHeight="1" x14ac:dyDescent="0.45">
      <c r="A14" s="4" t="s">
        <v>42</v>
      </c>
      <c r="B14" s="9">
        <v>12000</v>
      </c>
      <c r="C14" s="9" t="s">
        <v>43</v>
      </c>
      <c r="D14" s="9" t="s">
        <v>43</v>
      </c>
      <c r="E14" s="9" t="s">
        <v>43</v>
      </c>
      <c r="F14" s="9" t="s">
        <v>43</v>
      </c>
      <c r="G14" s="14" t="s">
        <v>44</v>
      </c>
    </row>
    <row r="15" spans="1:7" s="4" customFormat="1" ht="25.9" customHeight="1" x14ac:dyDescent="0.45">
      <c r="A15" s="4" t="s">
        <v>45</v>
      </c>
      <c r="B15" s="9">
        <v>7.0000000000000007E-2</v>
      </c>
      <c r="C15" s="9" t="s">
        <v>46</v>
      </c>
      <c r="D15" s="9" t="s">
        <v>33</v>
      </c>
      <c r="E15" s="9" t="s">
        <v>33</v>
      </c>
      <c r="F15" s="9" t="s">
        <v>47</v>
      </c>
      <c r="G15" s="14" t="s">
        <v>48</v>
      </c>
    </row>
    <row r="16" spans="1:7" x14ac:dyDescent="0.45">
      <c r="A16" s="4"/>
      <c r="B16" s="4"/>
      <c r="C16" s="4"/>
      <c r="D16" s="4"/>
      <c r="E16" s="4"/>
      <c r="F16" s="4"/>
      <c r="G16" s="14"/>
    </row>
    <row r="17" spans="1:3" x14ac:dyDescent="0.45">
      <c r="A17" s="5" t="s">
        <v>49</v>
      </c>
      <c r="B17" s="5" t="s">
        <v>50</v>
      </c>
      <c r="C17" s="5" t="s">
        <v>51</v>
      </c>
    </row>
    <row r="18" spans="1:3" x14ac:dyDescent="0.45">
      <c r="A18" s="5" t="s">
        <v>52</v>
      </c>
      <c r="B18" s="6">
        <v>-0.05</v>
      </c>
      <c r="C18" s="6">
        <v>0.03</v>
      </c>
    </row>
    <row r="19" spans="1:3" x14ac:dyDescent="0.45">
      <c r="A19" s="5" t="s">
        <v>53</v>
      </c>
      <c r="B19" s="5" t="s">
        <v>54</v>
      </c>
      <c r="C19" s="6">
        <v>-0.03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57"/>
  <sheetViews>
    <sheetView workbookViewId="0">
      <selection sqref="A1:XFD1048576"/>
    </sheetView>
  </sheetViews>
  <sheetFormatPr defaultRowHeight="14.25" x14ac:dyDescent="0.45"/>
  <cols>
    <col min="1" max="1" width="23.3984375" bestFit="1" customWidth="1"/>
    <col min="2" max="7" width="12.73046875" customWidth="1"/>
    <col min="8" max="8" width="14.1328125" bestFit="1" customWidth="1"/>
  </cols>
  <sheetData>
    <row r="1" spans="1:8" s="7" customFormat="1" x14ac:dyDescent="0.45">
      <c r="A1" s="7" t="s">
        <v>140</v>
      </c>
      <c r="B1" s="7" t="s">
        <v>141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</row>
    <row r="2" spans="1:8" x14ac:dyDescent="0.45">
      <c r="A2" t="s">
        <v>142</v>
      </c>
    </row>
    <row r="3" spans="1:8" x14ac:dyDescent="0.45">
      <c r="A3" t="s">
        <v>143</v>
      </c>
      <c r="C3" s="2">
        <v>34400</v>
      </c>
      <c r="D3" s="2">
        <v>33868.800000000003</v>
      </c>
      <c r="E3" s="2">
        <v>32948.42</v>
      </c>
      <c r="F3" s="2">
        <v>32346</v>
      </c>
      <c r="G3" s="2">
        <v>31454.28</v>
      </c>
      <c r="H3" s="3"/>
    </row>
    <row r="4" spans="1:8" x14ac:dyDescent="0.45">
      <c r="A4" t="s">
        <v>144</v>
      </c>
      <c r="C4" s="2">
        <v>27164.799999999999</v>
      </c>
      <c r="D4" s="2">
        <v>26834.476032000002</v>
      </c>
      <c r="E4" s="2">
        <v>26207.126979487999</v>
      </c>
      <c r="F4" s="2">
        <v>25843.738791124797</v>
      </c>
      <c r="G4" s="2">
        <v>25260.152557499056</v>
      </c>
    </row>
    <row r="5" spans="1:8" x14ac:dyDescent="0.45">
      <c r="A5" t="s">
        <v>145</v>
      </c>
      <c r="C5" s="2">
        <v>4472</v>
      </c>
      <c r="D5" s="2">
        <v>4402.9440000000004</v>
      </c>
      <c r="E5" s="2">
        <v>4118.5524999999998</v>
      </c>
      <c r="F5" s="2">
        <v>4043.25</v>
      </c>
      <c r="G5" s="2">
        <v>3774.5135999999998</v>
      </c>
    </row>
    <row r="6" spans="1:8" x14ac:dyDescent="0.45">
      <c r="A6" t="s">
        <v>146</v>
      </c>
      <c r="C6" s="2">
        <v>2763.2000000000007</v>
      </c>
      <c r="D6" s="2">
        <v>2631.3799680000002</v>
      </c>
      <c r="E6" s="2">
        <v>2622.7405205119994</v>
      </c>
      <c r="F6" s="2">
        <v>2459.011208875203</v>
      </c>
      <c r="G6" s="2">
        <v>2419.6138425009435</v>
      </c>
    </row>
    <row r="7" spans="1:8" x14ac:dyDescent="0.45">
      <c r="A7" t="s">
        <v>147</v>
      </c>
      <c r="C7" s="2"/>
      <c r="D7" s="2"/>
      <c r="E7" s="2"/>
      <c r="F7" s="2"/>
      <c r="G7" s="2"/>
    </row>
    <row r="8" spans="1:8" x14ac:dyDescent="0.45">
      <c r="A8" t="s">
        <v>148</v>
      </c>
      <c r="C8" s="2">
        <v>414.48000000000008</v>
      </c>
      <c r="D8" s="2">
        <v>394.70699519999999</v>
      </c>
      <c r="E8" s="2">
        <v>393.41107807679992</v>
      </c>
      <c r="F8" s="2">
        <v>368.85168133128042</v>
      </c>
      <c r="G8" s="2">
        <v>362.94207637514154</v>
      </c>
    </row>
    <row r="9" spans="1:8" x14ac:dyDescent="0.45">
      <c r="A9" t="s">
        <v>149</v>
      </c>
      <c r="C9" s="2">
        <v>2348.7200000000007</v>
      </c>
      <c r="D9" s="2">
        <v>2236.6729728</v>
      </c>
      <c r="E9" s="2">
        <v>2229.3294424351993</v>
      </c>
      <c r="F9" s="2">
        <v>2090.1595275439226</v>
      </c>
      <c r="G9" s="2">
        <v>2056.6717661258022</v>
      </c>
    </row>
    <row r="10" spans="1:8" x14ac:dyDescent="0.45">
      <c r="A10" t="s">
        <v>150</v>
      </c>
      <c r="C10" s="2">
        <v>2236</v>
      </c>
      <c r="D10" s="2">
        <v>2201.4720000000002</v>
      </c>
      <c r="E10" s="2">
        <v>2141.6473000000001</v>
      </c>
      <c r="F10" s="2">
        <v>2102.4900000000002</v>
      </c>
      <c r="G10" s="2">
        <v>2044.5282</v>
      </c>
    </row>
    <row r="11" spans="1:8" x14ac:dyDescent="0.45">
      <c r="A11" t="s">
        <v>151</v>
      </c>
      <c r="C11" s="2">
        <v>-516</v>
      </c>
      <c r="D11" s="2">
        <v>-338.68800000000005</v>
      </c>
      <c r="E11" s="2">
        <v>0</v>
      </c>
      <c r="F11" s="2">
        <v>161.72999999999999</v>
      </c>
      <c r="G11" s="2">
        <v>314.5428</v>
      </c>
    </row>
    <row r="12" spans="1:8" x14ac:dyDescent="0.45">
      <c r="A12" t="s">
        <v>152</v>
      </c>
      <c r="B12" s="2">
        <v>12000</v>
      </c>
      <c r="C12" s="2"/>
      <c r="D12" s="2">
        <v>1693.4400000000003</v>
      </c>
      <c r="E12" s="2">
        <v>1647.421</v>
      </c>
      <c r="F12" s="2">
        <v>1617.3000000000002</v>
      </c>
      <c r="G12" s="2">
        <v>1572.7139999999999</v>
      </c>
    </row>
    <row r="13" spans="1:8" x14ac:dyDescent="0.45">
      <c r="A13" t="s">
        <v>153</v>
      </c>
      <c r="C13" s="2">
        <v>5100.7200000000012</v>
      </c>
      <c r="D13" s="2">
        <v>3083.3929728000003</v>
      </c>
      <c r="E13" s="2">
        <v>2723.5557424351991</v>
      </c>
      <c r="F13" s="2">
        <v>2413.6195275439227</v>
      </c>
      <c r="G13" s="2">
        <v>2213.9431661258022</v>
      </c>
    </row>
    <row r="14" spans="1:8" x14ac:dyDescent="0.45">
      <c r="A14" t="s">
        <v>154</v>
      </c>
      <c r="C14" s="2"/>
      <c r="D14" s="2"/>
      <c r="E14" s="2"/>
      <c r="F14" s="2"/>
      <c r="G14" s="2"/>
    </row>
    <row r="15" spans="1:8" x14ac:dyDescent="0.45">
      <c r="A15" t="s">
        <v>155</v>
      </c>
      <c r="C15" s="1">
        <v>0.9174311926605504</v>
      </c>
      <c r="D15" s="1">
        <v>0.84167999326655996</v>
      </c>
      <c r="E15" s="1">
        <v>0.77218348006106419</v>
      </c>
      <c r="F15" s="1">
        <v>0.7084252110651964</v>
      </c>
      <c r="G15" s="1">
        <v>0.64993138629834524</v>
      </c>
    </row>
    <row r="16" spans="1:8" x14ac:dyDescent="0.45">
      <c r="A16" t="s">
        <v>156</v>
      </c>
      <c r="B16" s="3">
        <v>-12000</v>
      </c>
      <c r="C16" s="2">
        <v>4679.5596330275239</v>
      </c>
      <c r="D16" s="2">
        <v>2595.2301765844627</v>
      </c>
      <c r="E16" s="2">
        <v>2103.0847513339077</v>
      </c>
      <c r="F16" s="2">
        <v>1709.868923231383</v>
      </c>
      <c r="G16" s="2">
        <v>1438.9111511458902</v>
      </c>
    </row>
    <row r="17" spans="1:7" x14ac:dyDescent="0.45">
      <c r="A17" t="s">
        <v>157</v>
      </c>
      <c r="G17" s="3">
        <v>526.65463532316608</v>
      </c>
    </row>
    <row r="20" spans="1:7" x14ac:dyDescent="0.45">
      <c r="C20" s="2"/>
    </row>
    <row r="21" spans="1:7" s="7" customFormat="1" x14ac:dyDescent="0.45">
      <c r="A21" s="7" t="s">
        <v>158</v>
      </c>
      <c r="B21" s="7" t="s">
        <v>141</v>
      </c>
      <c r="C21" s="7" t="s">
        <v>1</v>
      </c>
      <c r="D21" s="7" t="s">
        <v>2</v>
      </c>
      <c r="E21" s="7" t="s">
        <v>3</v>
      </c>
      <c r="F21" s="7" t="s">
        <v>4</v>
      </c>
      <c r="G21" s="7" t="s">
        <v>5</v>
      </c>
    </row>
    <row r="22" spans="1:7" x14ac:dyDescent="0.45">
      <c r="A22" t="s">
        <v>142</v>
      </c>
    </row>
    <row r="23" spans="1:7" x14ac:dyDescent="0.45">
      <c r="A23" t="s">
        <v>143</v>
      </c>
      <c r="C23" s="2">
        <v>32680</v>
      </c>
      <c r="D23" s="2">
        <v>32175.360000000001</v>
      </c>
      <c r="E23" s="2">
        <v>31300.998999999996</v>
      </c>
      <c r="F23" s="2">
        <v>30728.699999999997</v>
      </c>
      <c r="G23" s="2">
        <v>29881.565999999999</v>
      </c>
    </row>
    <row r="24" spans="1:7" x14ac:dyDescent="0.45">
      <c r="A24" t="s">
        <v>144</v>
      </c>
      <c r="C24" s="2">
        <v>27979.743999999999</v>
      </c>
      <c r="D24" s="2">
        <v>27639.510312960003</v>
      </c>
      <c r="E24" s="2">
        <v>26993.34078887264</v>
      </c>
      <c r="F24" s="2">
        <v>26619.050954858543</v>
      </c>
      <c r="G24" s="2">
        <v>26017.957134224027</v>
      </c>
    </row>
    <row r="25" spans="1:7" x14ac:dyDescent="0.45">
      <c r="A25" t="s">
        <v>145</v>
      </c>
      <c r="C25" s="2">
        <v>4248.4000000000005</v>
      </c>
      <c r="D25" s="2">
        <v>4182.7968000000001</v>
      </c>
      <c r="E25" s="2">
        <v>3912.6248749999995</v>
      </c>
      <c r="F25" s="2">
        <v>3841.0874999999996</v>
      </c>
      <c r="G25" s="2">
        <v>3585.7879199999998</v>
      </c>
    </row>
    <row r="26" spans="1:7" x14ac:dyDescent="0.45">
      <c r="A26" t="s">
        <v>146</v>
      </c>
      <c r="C26" s="2">
        <v>451.85600000000068</v>
      </c>
      <c r="D26" s="2">
        <v>353.05288703999759</v>
      </c>
      <c r="E26" s="2">
        <v>395.03333612735696</v>
      </c>
      <c r="F26" s="2">
        <v>268.56154514145419</v>
      </c>
      <c r="G26" s="2">
        <v>277.82094577597218</v>
      </c>
    </row>
    <row r="27" spans="1:7" x14ac:dyDescent="0.45">
      <c r="A27" t="s">
        <v>147</v>
      </c>
      <c r="C27" s="2"/>
      <c r="D27" s="2"/>
      <c r="E27" s="2"/>
      <c r="F27" s="2"/>
      <c r="G27" s="2"/>
    </row>
    <row r="28" spans="1:7" x14ac:dyDescent="0.45">
      <c r="A28" t="s">
        <v>148</v>
      </c>
      <c r="C28" s="2">
        <v>67.778400000000104</v>
      </c>
      <c r="D28" s="2">
        <v>52.957933055999639</v>
      </c>
      <c r="E28" s="2">
        <v>59.255000419103538</v>
      </c>
      <c r="F28" s="2">
        <v>40.284231771218124</v>
      </c>
      <c r="G28" s="2">
        <v>41.673141866395824</v>
      </c>
    </row>
    <row r="29" spans="1:7" x14ac:dyDescent="0.45">
      <c r="A29" t="s">
        <v>149</v>
      </c>
      <c r="C29" s="2">
        <v>384.07760000000059</v>
      </c>
      <c r="D29" s="2">
        <v>300.09495398399793</v>
      </c>
      <c r="E29" s="2">
        <v>335.77833570825339</v>
      </c>
      <c r="F29" s="2">
        <v>228.27731337023607</v>
      </c>
      <c r="G29" s="2">
        <v>236.14780390957634</v>
      </c>
    </row>
    <row r="30" spans="1:7" x14ac:dyDescent="0.45">
      <c r="A30" t="s">
        <v>150</v>
      </c>
      <c r="C30" s="2">
        <v>2124.2000000000003</v>
      </c>
      <c r="D30" s="2">
        <v>2091.3984</v>
      </c>
      <c r="E30" s="2">
        <v>2034.5649349999999</v>
      </c>
      <c r="F30" s="2">
        <v>1997.3654999999999</v>
      </c>
      <c r="G30" s="2">
        <v>1942.30179</v>
      </c>
    </row>
    <row r="31" spans="1:7" x14ac:dyDescent="0.45">
      <c r="A31" t="s">
        <v>151</v>
      </c>
      <c r="C31" s="2">
        <v>-490.2</v>
      </c>
      <c r="D31" s="2">
        <v>-321.75360000000001</v>
      </c>
      <c r="E31" s="2">
        <v>0</v>
      </c>
      <c r="F31" s="2">
        <v>153.64349999999999</v>
      </c>
      <c r="G31" s="2">
        <v>298.81565999999998</v>
      </c>
    </row>
    <row r="32" spans="1:7" x14ac:dyDescent="0.45">
      <c r="A32" t="s">
        <v>152</v>
      </c>
      <c r="B32" s="2">
        <v>12000</v>
      </c>
      <c r="C32" s="2"/>
      <c r="D32" s="2"/>
      <c r="E32" s="2"/>
      <c r="F32" s="2"/>
      <c r="G32" s="2"/>
    </row>
    <row r="33" spans="1:7" x14ac:dyDescent="0.45">
      <c r="A33" t="s">
        <v>153</v>
      </c>
      <c r="C33" s="2">
        <v>2998.4776000000006</v>
      </c>
      <c r="D33" s="2">
        <v>2713.2469539839981</v>
      </c>
      <c r="E33" s="2">
        <v>2370.3432707082534</v>
      </c>
      <c r="F33" s="2">
        <v>2071.999313370236</v>
      </c>
      <c r="G33" s="2">
        <v>1879.6339339095764</v>
      </c>
    </row>
    <row r="34" spans="1:7" x14ac:dyDescent="0.45">
      <c r="A34" t="s">
        <v>154</v>
      </c>
      <c r="C34" s="2"/>
      <c r="D34" s="2"/>
      <c r="E34" s="2"/>
      <c r="F34" s="2"/>
      <c r="G34" s="2"/>
    </row>
    <row r="35" spans="1:7" x14ac:dyDescent="0.45">
      <c r="A35" t="s">
        <v>155</v>
      </c>
      <c r="C35" s="1">
        <v>0.9174311926605504</v>
      </c>
      <c r="D35" s="1">
        <v>0.84167999326655996</v>
      </c>
      <c r="E35" s="1">
        <v>0.77218348006106419</v>
      </c>
      <c r="F35" s="1">
        <v>0.7084252110651964</v>
      </c>
      <c r="G35" s="1">
        <v>0.64993138629834524</v>
      </c>
    </row>
    <row r="36" spans="1:7" x14ac:dyDescent="0.45">
      <c r="A36" t="s">
        <v>156</v>
      </c>
      <c r="B36" s="3">
        <v>-12000</v>
      </c>
      <c r="C36" s="2">
        <v>2750.8968807339452</v>
      </c>
      <c r="D36" s="2">
        <v>2283.6856779597656</v>
      </c>
      <c r="E36" s="2">
        <v>1830.3399157148242</v>
      </c>
      <c r="F36" s="2">
        <v>1467.8565509012515</v>
      </c>
      <c r="G36" s="2">
        <v>1221.6330883992632</v>
      </c>
    </row>
    <row r="37" spans="1:7" x14ac:dyDescent="0.45">
      <c r="A37" t="s">
        <v>157</v>
      </c>
      <c r="G37" s="3">
        <v>-2445.5878862909503</v>
      </c>
    </row>
    <row r="41" spans="1:7" s="7" customFormat="1" x14ac:dyDescent="0.45">
      <c r="A41" s="7" t="s">
        <v>159</v>
      </c>
      <c r="B41" s="7" t="s">
        <v>141</v>
      </c>
      <c r="C41" s="7" t="s">
        <v>1</v>
      </c>
      <c r="D41" s="7" t="s">
        <v>2</v>
      </c>
      <c r="E41" s="7" t="s">
        <v>3</v>
      </c>
      <c r="F41" s="7" t="s">
        <v>4</v>
      </c>
      <c r="G41" s="7" t="s">
        <v>5</v>
      </c>
    </row>
    <row r="42" spans="1:7" x14ac:dyDescent="0.45">
      <c r="A42" t="s">
        <v>142</v>
      </c>
    </row>
    <row r="43" spans="1:7" x14ac:dyDescent="0.45">
      <c r="A43" t="s">
        <v>143</v>
      </c>
      <c r="C43" s="2">
        <v>34400</v>
      </c>
      <c r="D43" s="2">
        <v>33868.800000000003</v>
      </c>
      <c r="E43" s="2">
        <v>32948.42</v>
      </c>
      <c r="F43" s="2">
        <v>32346</v>
      </c>
      <c r="G43" s="2">
        <v>31454.28</v>
      </c>
    </row>
    <row r="44" spans="1:7" x14ac:dyDescent="0.45">
      <c r="A44" t="s">
        <v>144</v>
      </c>
      <c r="C44" s="2">
        <v>26349.856</v>
      </c>
      <c r="D44" s="2">
        <v>26029.441751040002</v>
      </c>
      <c r="E44" s="2">
        <v>25420.913170103358</v>
      </c>
      <c r="F44" s="2">
        <v>25068.426627391051</v>
      </c>
      <c r="G44" s="2">
        <v>24502.347980774084</v>
      </c>
    </row>
    <row r="45" spans="1:7" x14ac:dyDescent="0.45">
      <c r="A45" t="s">
        <v>145</v>
      </c>
      <c r="C45" s="2">
        <v>4472</v>
      </c>
      <c r="D45" s="2">
        <v>4402.9440000000004</v>
      </c>
      <c r="E45" s="2">
        <v>4118.5524999999998</v>
      </c>
      <c r="F45" s="2">
        <v>4043.25</v>
      </c>
      <c r="G45" s="2">
        <v>3774.5135999999998</v>
      </c>
    </row>
    <row r="46" spans="1:7" x14ac:dyDescent="0.45">
      <c r="A46" t="s">
        <v>146</v>
      </c>
      <c r="C46" s="2">
        <v>3578.1440000000002</v>
      </c>
      <c r="D46" s="2">
        <v>3436.4142489600008</v>
      </c>
      <c r="E46" s="2">
        <v>3408.95432989664</v>
      </c>
      <c r="F46" s="2">
        <v>3234.3233726089493</v>
      </c>
      <c r="G46" s="2">
        <v>3177.4184192259149</v>
      </c>
    </row>
    <row r="47" spans="1:7" x14ac:dyDescent="0.45">
      <c r="A47" t="s">
        <v>147</v>
      </c>
      <c r="C47" s="2"/>
      <c r="D47" s="2"/>
      <c r="E47" s="2"/>
      <c r="F47" s="2"/>
      <c r="G47" s="2"/>
    </row>
    <row r="48" spans="1:7" x14ac:dyDescent="0.45">
      <c r="A48" t="s">
        <v>148</v>
      </c>
      <c r="C48" s="2">
        <v>232.57936000000004</v>
      </c>
      <c r="D48" s="2">
        <v>223.36692618240005</v>
      </c>
      <c r="E48" s="2">
        <v>221.58203144328161</v>
      </c>
      <c r="F48" s="2">
        <v>210.2310192195817</v>
      </c>
      <c r="G48" s="2">
        <v>206.53219724968449</v>
      </c>
    </row>
    <row r="49" spans="1:7" x14ac:dyDescent="0.45">
      <c r="A49" t="s">
        <v>149</v>
      </c>
      <c r="C49" s="2">
        <v>3345.5646400000001</v>
      </c>
      <c r="D49" s="2">
        <v>3213.0473227776006</v>
      </c>
      <c r="E49" s="2">
        <v>3187.3722984533583</v>
      </c>
      <c r="F49" s="2">
        <v>3024.0923533893674</v>
      </c>
      <c r="G49" s="2">
        <v>2970.8862219762304</v>
      </c>
    </row>
    <row r="50" spans="1:7" x14ac:dyDescent="0.45">
      <c r="A50" t="s">
        <v>150</v>
      </c>
      <c r="C50" s="2">
        <v>2236</v>
      </c>
      <c r="D50" s="2">
        <v>2201.4720000000002</v>
      </c>
      <c r="E50" s="2">
        <v>2141.6473000000001</v>
      </c>
      <c r="F50" s="2">
        <v>2102.4900000000002</v>
      </c>
      <c r="G50" s="2">
        <v>2044.5282</v>
      </c>
    </row>
    <row r="51" spans="1:7" x14ac:dyDescent="0.45">
      <c r="A51" t="s">
        <v>151</v>
      </c>
      <c r="C51" s="2">
        <v>-516</v>
      </c>
      <c r="D51" s="2">
        <v>-338.68800000000005</v>
      </c>
      <c r="E51" s="2">
        <v>0</v>
      </c>
      <c r="F51" s="2">
        <v>161.72999999999999</v>
      </c>
      <c r="G51" s="2">
        <v>314.5428</v>
      </c>
    </row>
    <row r="52" spans="1:7" x14ac:dyDescent="0.45">
      <c r="A52" t="s">
        <v>152</v>
      </c>
      <c r="B52" s="2">
        <v>12000</v>
      </c>
      <c r="C52" s="2"/>
      <c r="D52" s="2"/>
      <c r="E52" s="2"/>
      <c r="F52" s="2"/>
      <c r="G52" s="2"/>
    </row>
    <row r="53" spans="1:7" x14ac:dyDescent="0.45">
      <c r="A53" t="s">
        <v>153</v>
      </c>
      <c r="C53" s="2">
        <v>6097.5646400000005</v>
      </c>
      <c r="D53" s="2">
        <v>5753.2073227776009</v>
      </c>
      <c r="E53" s="2">
        <v>5329.0195984533584</v>
      </c>
      <c r="F53" s="2">
        <v>4964.8523533893676</v>
      </c>
      <c r="G53" s="2">
        <v>4700.87162197623</v>
      </c>
    </row>
    <row r="54" spans="1:7" x14ac:dyDescent="0.45">
      <c r="A54" t="s">
        <v>154</v>
      </c>
      <c r="C54" s="2"/>
      <c r="D54" s="2"/>
      <c r="E54" s="2"/>
      <c r="F54" s="2"/>
      <c r="G54" s="2"/>
    </row>
    <row r="55" spans="1:7" x14ac:dyDescent="0.45">
      <c r="A55" t="s">
        <v>155</v>
      </c>
      <c r="C55" s="1">
        <v>0.9174311926605504</v>
      </c>
      <c r="D55" s="1">
        <v>0.84167999326655996</v>
      </c>
      <c r="E55" s="1">
        <v>0.77218348006106419</v>
      </c>
      <c r="F55" s="1">
        <v>0.7084252110651964</v>
      </c>
      <c r="G55" s="1">
        <v>0.64993138629834524</v>
      </c>
    </row>
    <row r="56" spans="1:7" x14ac:dyDescent="0.45">
      <c r="A56" t="s">
        <v>156</v>
      </c>
      <c r="B56" s="3">
        <v>-12000</v>
      </c>
      <c r="C56" s="2">
        <v>5594.0960000000005</v>
      </c>
      <c r="D56" s="2">
        <v>4842.3595006965743</v>
      </c>
      <c r="E56" s="2">
        <v>4114.9808988473287</v>
      </c>
      <c r="F56" s="2">
        <v>3517.2265763574001</v>
      </c>
      <c r="G56" s="2">
        <v>3055.244010081562</v>
      </c>
    </row>
    <row r="57" spans="1:7" x14ac:dyDescent="0.45">
      <c r="A57" t="s">
        <v>157</v>
      </c>
      <c r="G57" s="3">
        <v>9123.9069859828669</v>
      </c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>
      <selection sqref="A1:XFD1048576"/>
    </sheetView>
  </sheetViews>
  <sheetFormatPr defaultRowHeight="14.25" x14ac:dyDescent="0.45"/>
  <cols>
    <col min="1" max="1" width="34.46484375" style="23" bestFit="1" customWidth="1"/>
    <col min="2" max="2" width="15.73046875" bestFit="1" customWidth="1"/>
  </cols>
  <sheetData>
    <row r="1" spans="1:3" s="7" customFormat="1" ht="29.35" customHeight="1" x14ac:dyDescent="0.45">
      <c r="A1" s="17" t="s">
        <v>160</v>
      </c>
      <c r="B1" s="7" t="s">
        <v>161</v>
      </c>
      <c r="C1" s="7" t="s">
        <v>162</v>
      </c>
    </row>
    <row r="2" spans="1:3" s="4" customFormat="1" ht="29.35" customHeight="1" x14ac:dyDescent="0.45">
      <c r="A2" s="14" t="s">
        <v>163</v>
      </c>
      <c r="B2" s="15">
        <v>526.65463532316608</v>
      </c>
      <c r="C2" s="16">
        <v>1.8099666710980955E-2</v>
      </c>
    </row>
    <row r="3" spans="1:3" s="4" customFormat="1" ht="29.35" customHeight="1" x14ac:dyDescent="0.45">
      <c r="A3" s="14" t="s">
        <v>164</v>
      </c>
      <c r="B3" s="15">
        <v>-2445.5878862909503</v>
      </c>
      <c r="C3" s="16">
        <v>-8.163603513055151E-2</v>
      </c>
    </row>
    <row r="4" spans="1:3" s="4" customFormat="1" ht="29.35" customHeight="1" x14ac:dyDescent="0.45">
      <c r="A4" s="14" t="s">
        <v>165</v>
      </c>
      <c r="B4" s="15">
        <v>9123.9069859828669</v>
      </c>
      <c r="C4" s="16">
        <v>0.25559043380612056</v>
      </c>
    </row>
    <row r="6" spans="1:3" x14ac:dyDescent="0.45">
      <c r="B6" s="3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6"/>
  <sheetViews>
    <sheetView tabSelected="1" workbookViewId="0">
      <selection activeCell="D11" sqref="D11"/>
    </sheetView>
  </sheetViews>
  <sheetFormatPr defaultRowHeight="14.25" x14ac:dyDescent="0.45"/>
  <cols>
    <col min="1" max="1" width="27.53125" bestFit="1" customWidth="1"/>
    <col min="2" max="2" width="9.59765625" bestFit="1" customWidth="1"/>
    <col min="4" max="4" width="27.53125" bestFit="1" customWidth="1"/>
    <col min="5" max="5" width="9.59765625" bestFit="1" customWidth="1"/>
    <col min="7" max="7" width="27.53125" bestFit="1" customWidth="1"/>
    <col min="8" max="8" width="9.59765625" bestFit="1" customWidth="1"/>
  </cols>
  <sheetData>
    <row r="1" spans="1:8" s="17" customFormat="1" ht="30" customHeight="1" x14ac:dyDescent="0.45">
      <c r="A1" s="17" t="s">
        <v>166</v>
      </c>
      <c r="B1" s="17" t="s">
        <v>167</v>
      </c>
      <c r="D1" s="17" t="s">
        <v>168</v>
      </c>
      <c r="E1" s="17" t="s">
        <v>167</v>
      </c>
      <c r="G1" s="17" t="s">
        <v>169</v>
      </c>
      <c r="H1" s="17" t="s">
        <v>167</v>
      </c>
    </row>
    <row r="2" spans="1:8" s="14" customFormat="1" ht="30" customHeight="1" x14ac:dyDescent="0.45">
      <c r="A2" s="14" t="s">
        <v>170</v>
      </c>
      <c r="B2" s="18">
        <v>12000</v>
      </c>
      <c r="D2" s="14" t="s">
        <v>170</v>
      </c>
      <c r="E2" s="18">
        <v>12000</v>
      </c>
      <c r="G2" s="14" t="s">
        <v>170</v>
      </c>
      <c r="H2" s="18">
        <v>12000</v>
      </c>
    </row>
    <row r="3" spans="1:8" s="14" customFormat="1" ht="30" customHeight="1" x14ac:dyDescent="0.45">
      <c r="A3" s="14" t="s">
        <v>171</v>
      </c>
      <c r="B3" s="18">
        <v>12526.654635323166</v>
      </c>
      <c r="D3" s="14" t="s">
        <v>171</v>
      </c>
      <c r="E3" s="18">
        <v>9554.4121137090497</v>
      </c>
      <c r="G3" s="14" t="s">
        <v>171</v>
      </c>
      <c r="H3" s="18">
        <v>21123.906985982867</v>
      </c>
    </row>
    <row r="4" spans="1:8" s="14" customFormat="1" ht="30" customHeight="1" x14ac:dyDescent="0.45">
      <c r="A4" s="14" t="s">
        <v>172</v>
      </c>
      <c r="B4" s="18">
        <v>526.65463532316608</v>
      </c>
      <c r="D4" s="14" t="s">
        <v>172</v>
      </c>
      <c r="E4" s="18">
        <v>-2445.5878862909503</v>
      </c>
      <c r="G4" s="14" t="s">
        <v>172</v>
      </c>
      <c r="H4" s="18">
        <v>9123.9069859828669</v>
      </c>
    </row>
    <row r="5" spans="1:8" s="14" customFormat="1" ht="30" customHeight="1" x14ac:dyDescent="0.45">
      <c r="A5" s="14" t="s">
        <v>173</v>
      </c>
      <c r="B5" s="19">
        <v>1.8099666710980955E-2</v>
      </c>
      <c r="D5" s="14" t="s">
        <v>173</v>
      </c>
      <c r="E5" s="19">
        <v>-8.163603513055151E-2</v>
      </c>
      <c r="G5" s="14" t="s">
        <v>173</v>
      </c>
      <c r="H5" s="19">
        <v>0.25559043380612056</v>
      </c>
    </row>
    <row r="6" spans="1:8" s="14" customFormat="1" ht="30" customHeight="1" x14ac:dyDescent="0.45">
      <c r="A6" s="14" t="s">
        <v>174</v>
      </c>
      <c r="B6" s="20">
        <v>4.6339908583627558</v>
      </c>
      <c r="D6" s="14" t="s">
        <v>174</v>
      </c>
      <c r="E6" s="21" t="s">
        <v>175</v>
      </c>
      <c r="G6" s="14" t="s">
        <v>174</v>
      </c>
      <c r="H6" s="22">
        <v>2.3799639749825809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Battery Pack Cost Breakdown</vt:lpstr>
      <vt:lpstr>Battery Pack Cost</vt:lpstr>
      <vt:lpstr>Cost Data and Assumptions</vt:lpstr>
      <vt:lpstr>Vehicle Cost Calculation</vt:lpstr>
      <vt:lpstr>Model Assumptions</vt:lpstr>
      <vt:lpstr>NPV Forecast</vt:lpstr>
      <vt:lpstr>Sensitivity Analysis</vt:lpstr>
      <vt:lpstr>Investment Return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LBKY</dc:creator>
  <cp:lastModifiedBy>Owen Liu</cp:lastModifiedBy>
  <dcterms:created xsi:type="dcterms:W3CDTF">2015-06-05T18:17:20Z</dcterms:created>
  <dcterms:modified xsi:type="dcterms:W3CDTF">2026-01-29T09:23:24Z</dcterms:modified>
</cp:coreProperties>
</file>